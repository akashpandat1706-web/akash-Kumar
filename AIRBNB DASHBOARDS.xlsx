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0eed63c8f7b489/Documents/"/>
    </mc:Choice>
  </mc:AlternateContent>
  <xr:revisionPtr revIDLastSave="26" documentId="8_{5D2C55D7-4800-4D41-AD2D-0DA1A0C78972}" xr6:coauthVersionLast="47" xr6:coauthVersionMax="47" xr10:uidLastSave="{A9DA9E43-9A3B-45D1-BF8B-F3875E038415}"/>
  <bookViews>
    <workbookView xWindow="-110" yWindow="-110" windowWidth="19420" windowHeight="10300" xr2:uid="{45C2E3B5-2090-4260-B51A-AD4301388642}"/>
  </bookViews>
  <sheets>
    <sheet name="Sheet1" sheetId="1" r:id="rId1"/>
    <sheet name="Raw Data" sheetId="2" r:id="rId2"/>
    <sheet name="Scoring Model" sheetId="3" r:id="rId3"/>
    <sheet name="Dashboard" sheetId="4" r:id="rId4"/>
    <sheet name="Data Diction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<sst xmlns="http://schemas.openxmlformats.org/spreadsheetml/2006/main" count="358" uniqueCount="166">
  <si>
    <t>listing_id</t>
  </si>
  <si>
    <t>name</t>
  </si>
  <si>
    <t>host_id</t>
  </si>
  <si>
    <t>host_since</t>
  </si>
  <si>
    <t>host_location</t>
  </si>
  <si>
    <t>host_response_time</t>
  </si>
  <si>
    <t>host_response_rate</t>
  </si>
  <si>
    <t>host_acceptance_rate</t>
  </si>
  <si>
    <t>host_is_superhost</t>
  </si>
  <si>
    <t>host_total_listings_count</t>
  </si>
  <si>
    <t>host_has_profile_pic</t>
  </si>
  <si>
    <t>host_identity_verified</t>
  </si>
  <si>
    <t>neighbourhood</t>
  </si>
  <si>
    <t>district</t>
  </si>
  <si>
    <t>city</t>
  </si>
  <si>
    <t>latitude</t>
  </si>
  <si>
    <t>longitude</t>
  </si>
  <si>
    <t>property_type</t>
  </si>
  <si>
    <t>room_type</t>
  </si>
  <si>
    <t>accommodates</t>
  </si>
  <si>
    <t>bedrooms</t>
  </si>
  <si>
    <t>amenities</t>
  </si>
  <si>
    <t>price</t>
  </si>
  <si>
    <t>minimum_nights</t>
  </si>
  <si>
    <t>maximum_nights</t>
  </si>
  <si>
    <t>review_scores_rating</t>
  </si>
  <si>
    <t>review_scores_accuracy</t>
  </si>
  <si>
    <t>review_scores_cleanliness</t>
  </si>
  <si>
    <t>review_scores_checkin</t>
  </si>
  <si>
    <t>review_scores_communication</t>
  </si>
  <si>
    <t>review_scores_location</t>
  </si>
  <si>
    <t>review_scores_value</t>
  </si>
  <si>
    <t>instant_bookable</t>
  </si>
  <si>
    <t>Airbnb Popularity Scoring Model</t>
  </si>
  <si>
    <t>Weight</t>
  </si>
  <si>
    <t>Metric</t>
  </si>
  <si>
    <t>Overall rating</t>
  </si>
  <si>
    <t>Review value score</t>
  </si>
  <si>
    <t>Location score</t>
  </si>
  <si>
    <t>Cleanliness score</t>
  </si>
  <si>
    <t>Communication score</t>
  </si>
  <si>
    <t>Host response rate</t>
  </si>
  <si>
    <t>Superhost flag</t>
  </si>
  <si>
    <t>Instant bookable flag</t>
  </si>
  <si>
    <t>rating</t>
  </si>
  <si>
    <t>value_score</t>
  </si>
  <si>
    <t>location_score</t>
  </si>
  <si>
    <t>cleanliness</t>
  </si>
  <si>
    <t>communication</t>
  </si>
  <si>
    <t>popularity_score</t>
  </si>
  <si>
    <t>Airbnb Listings Popularity Dashboard</t>
  </si>
  <si>
    <t>Total Listings</t>
  </si>
  <si>
    <t>Avg Rating</t>
  </si>
  <si>
    <t>Avg Price</t>
  </si>
  <si>
    <t>Superhost %</t>
  </si>
  <si>
    <t>Instant Bookable %</t>
  </si>
  <si>
    <t>Avg Popularity</t>
  </si>
  <si>
    <t>Top Predicted Popular Listings</t>
  </si>
  <si>
    <t>Listing ID</t>
  </si>
  <si>
    <t>Name</t>
  </si>
  <si>
    <t>City</t>
  </si>
  <si>
    <t>Room Type</t>
  </si>
  <si>
    <t>Price</t>
  </si>
  <si>
    <t>Rating</t>
  </si>
  <si>
    <t>Value</t>
  </si>
  <si>
    <t>Location</t>
  </si>
  <si>
    <t>Cleanliness</t>
  </si>
  <si>
    <t>Communication</t>
  </si>
  <si>
    <t>Popularity</t>
  </si>
  <si>
    <t>Listings</t>
  </si>
  <si>
    <t>Data Dictionary</t>
  </si>
  <si>
    <t>Field</t>
  </si>
  <si>
    <t>Definition</t>
  </si>
  <si>
    <t>Listing name</t>
  </si>
  <si>
    <t>Host ID</t>
  </si>
  <si>
    <t>Date host joined Airbnb</t>
  </si>
  <si>
    <t>Host location</t>
  </si>
  <si>
    <t>Host response time category</t>
  </si>
  <si>
    <t>Host acceptance rate</t>
  </si>
  <si>
    <t>Total host listings</t>
  </si>
  <si>
    <t>Host profile picture flag</t>
  </si>
  <si>
    <t>Host identity verified flag</t>
  </si>
  <si>
    <t>Neighbourhood</t>
  </si>
  <si>
    <t>District</t>
  </si>
  <si>
    <t>Latitude</t>
  </si>
  <si>
    <t>Longitude</t>
  </si>
  <si>
    <t>Property type</t>
  </si>
  <si>
    <t>Room type</t>
  </si>
  <si>
    <t>Guest capacity</t>
  </si>
  <si>
    <t>Bedrooms</t>
  </si>
  <si>
    <t>Amenities list/text</t>
  </si>
  <si>
    <t>Listing price in local currency</t>
  </si>
  <si>
    <t>Minimum stay nights</t>
  </si>
  <si>
    <t>Maximum stay nights</t>
  </si>
  <si>
    <t>Accuracy score</t>
  </si>
  <si>
    <t>Check-in score</t>
  </si>
  <si>
    <t>Value score</t>
  </si>
  <si>
    <t>Instant booking flag</t>
  </si>
  <si>
    <t>Airbnb Listings sample data loaded for dashboard build. Replace with full Listings.csv when available.</t>
  </si>
  <si>
    <t>D1 - Million Dollar View 2 BR</t>
  </si>
  <si>
    <t>Vancouver, Canada</t>
  </si>
  <si>
    <t>within a few hours</t>
  </si>
  <si>
    <t>N/A</t>
  </si>
  <si>
    <t>Coal Harbour</t>
  </si>
  <si>
    <t>Downtown</t>
  </si>
  <si>
    <t>Vancouver</t>
  </si>
  <si>
    <t>Condominium</t>
  </si>
  <si>
    <t>Entire home/apt</t>
  </si>
  <si>
    <t>TV, Cable TV, Internet, Wifi, Kitchen, Parking, Washer, Dryer</t>
  </si>
  <si>
    <t>Central Lovely Rm in Victorian Home</t>
  </si>
  <si>
    <t>Riley Park</t>
  </si>
  <si>
    <t>House</t>
  </si>
  <si>
    <t>Private room</t>
  </si>
  <si>
    <t>TV, Cable TV, Internet, Wifi, Parking, Heating, Essentials</t>
  </si>
  <si>
    <t>Garden level studio in ideal loc.</t>
  </si>
  <si>
    <t>within an hour</t>
  </si>
  <si>
    <t>Guest suite</t>
  </si>
  <si>
    <t>Wifi, Kitchen, Heating, Washer, Dryer, Patio, Long term stays</t>
  </si>
  <si>
    <t>EcoLoft Vancouver</t>
  </si>
  <si>
    <t>Kitsilano</t>
  </si>
  <si>
    <t>Loft</t>
  </si>
  <si>
    <t>Wifi, Kitchen, Washer, Dryer, Heating, Laptop workspace</t>
  </si>
  <si>
    <t>Close to UBC and beach</t>
  </si>
  <si>
    <t>within a day</t>
  </si>
  <si>
    <t>Point Grey</t>
  </si>
  <si>
    <t>West Point Grey</t>
  </si>
  <si>
    <t>Wifi, Kitchen, Free parking, Heating, Essentials</t>
  </si>
  <si>
    <t>West End Apartment</t>
  </si>
  <si>
    <t>West End</t>
  </si>
  <si>
    <t>Apartment</t>
  </si>
  <si>
    <t>Wifi, Pool, Kitchen, Elevator, Washer, Dryer, Essentials</t>
  </si>
  <si>
    <t>Family friendly Point Grey Home</t>
  </si>
  <si>
    <t>Wifi, Kitchen, Parking, Washer, Dryer, Garden, Family friendly</t>
  </si>
  <si>
    <t>Beautiful Flat in le Village Montmartre</t>
  </si>
  <si>
    <t>Paris, France</t>
  </si>
  <si>
    <t>Montmartre</t>
  </si>
  <si>
    <t>18th arrondissement</t>
  </si>
  <si>
    <t>Paris</t>
  </si>
  <si>
    <t>Heating, Kitchen, Washer, Wifi, Long term stays</t>
  </si>
  <si>
    <t>Bright Central Studio</t>
  </si>
  <si>
    <t>Le Marais</t>
  </si>
  <si>
    <t>3rd arrondissement</t>
  </si>
  <si>
    <t>Wifi, Kitchen, Washer, Heating, Essentials</t>
  </si>
  <si>
    <t>Modern Private Room</t>
  </si>
  <si>
    <t>London, UK</t>
  </si>
  <si>
    <t>Camden</t>
  </si>
  <si>
    <t>London</t>
  </si>
  <si>
    <t>Townhouse</t>
  </si>
  <si>
    <t>Wifi, Heating, Essentials, Desk</t>
  </si>
  <si>
    <t>Sunny Entire Flat</t>
  </si>
  <si>
    <t>Shoreditch</t>
  </si>
  <si>
    <t>Hackney</t>
  </si>
  <si>
    <t>Wifi, Kitchen, Washer, Dryer, Heating, Workspace</t>
  </si>
  <si>
    <t>Downtown Loft Near Transit</t>
  </si>
  <si>
    <t>New York, USA</t>
  </si>
  <si>
    <t>Williamsburg</t>
  </si>
  <si>
    <t>Brooklyn</t>
  </si>
  <si>
    <t>New York</t>
  </si>
  <si>
    <t>Wifi, Kitchen, Air conditioning, Heating, Workspace</t>
  </si>
  <si>
    <t>rank</t>
  </si>
  <si>
    <t>band</t>
  </si>
  <si>
    <t>High</t>
  </si>
  <si>
    <t>Medium</t>
  </si>
  <si>
    <t>Dashboard populated in existing workbook from Raw Data sample rows.</t>
  </si>
  <si>
    <t>Rank</t>
  </si>
  <si>
    <t>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</si>
</sst>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10"/>
      <color theme="1"/>
      <name val="Calibri"/>
    </font>
    <font>
      <b/>
      <sz val="10"/>
      <color theme="0"/>
      <name val="Calibri"/>
    </font>
    <font>
      <b/>
      <sz val="10"/>
      <color theme="1"/>
      <name val="Calibri"/>
    </font>
    <font>
      <b/>
      <sz val="14"/>
      <color theme="1"/>
      <name val="Calibri"/>
    </font>
    <font>
      <sz val="1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3" borderId="0" xfId="0" applyFont="1" applyFill="1"/>
    <xf numFmtId="0" fontId="4" fillId="4" borderId="1" xfId="0" applyFont="1" applyFill="1" applyBorder="1"/>
    <xf numFmtId="9" fontId="4" fillId="0" borderId="0" xfId="0" applyNumberFormat="1" applyFont="1"/>
    <xf numFmtId="0" fontId="2" fillId="5" borderId="0" xfId="0" applyFont="1" applyFill="1"/>
    <xf numFmtId="0" fontId="1" fillId="5" borderId="0" xfId="0" applyFont="1" applyFill="1"/>
    <xf numFmtId="0" fontId="6" fillId="6" borderId="0" xfId="0" applyFont="1" applyFill="1"/>
    <xf numFmtId="0" fontId="7" fillId="0" borderId="0" xfId="0" applyFont="1"/>
    <xf numFmtId="164" fontId="7" fillId="0" borderId="0" xfId="0" applyNumberFormat="1" applyFont="1"/>
    <xf numFmtId="3" fontId="7" fillId="0" borderId="0" xfId="0" applyNumberFormat="1" applyFont="1"/>
    <xf numFmtId="164" fontId="4" fillId="0" borderId="0" xfId="0" applyNumberFormat="1" applyFont="1"/>
    <xf numFmtId="164" fontId="0" fillId="0" borderId="0" xfId="0" applyNumberFormat="1"/>
    <xf numFmtId="14" fontId="4" fillId="4" borderId="1" xfId="0" applyNumberFormat="1" applyFont="1" applyFill="1" applyBorder="1"/>
    <xf numFmtId="9" fontId="4" fillId="4" borderId="1" xfId="0" applyNumberFormat="1" applyFont="1" applyFill="1" applyBorder="1"/>
    <xf numFmtId="0" fontId="8" fillId="4" borderId="1" xfId="0" applyFont="1" applyFill="1" applyBorder="1"/>
    <xf numFmtId="0" fontId="8" fillId="4" borderId="0" xfId="0" applyFont="1" applyFill="1"/>
    <xf numFmtId="14" fontId="8" fillId="4" borderId="1" xfId="0" applyNumberFormat="1" applyFont="1" applyFill="1" applyBorder="1"/>
    <xf numFmtId="14" fontId="8" fillId="4" borderId="0" xfId="0" applyNumberFormat="1" applyFont="1" applyFill="1"/>
    <xf numFmtId="9" fontId="8" fillId="4" borderId="0" xfId="0" applyNumberFormat="1" applyFont="1" applyFill="1"/>
    <xf numFmtId="0" fontId="2" fillId="5" borderId="0" xfId="0" applyFont="1" applyFill="1"/>
    <xf numFmtId="0" fontId="4" fillId="0" borderId="0" xfId="0" applyFont="1"/>
    <xf numFmtId="0" fontId="3" fillId="2" borderId="0" xfId="0" applyFont="1" applyFill="1"/>
  </cellXfs>
  <cellStyles count="1">
    <cellStyle name="Normal" xfId="0" builtinId="0"/>
  </cellStyles>
  <dxfs count="40">
    <dxf>
      <font>
        <sz val="10"/>
        <name val="Calibri"/>
      </font>
    </dxf>
    <dxf>
      <font>
        <sz val="10"/>
        <name val="Calibri"/>
      </font>
    </dxf>
    <dxf>
      <font>
        <sz val="10"/>
        <name val="Calibri"/>
      </font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Popularity by Room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Dashboard!$D$23</c:f>
              <c:strCache>
                <c:ptCount val="1"/>
                <c:pt idx="0">
                  <c:v>Room Type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Dashboard!$D$24:$D$33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8-45C1-91D5-633CEDA3A4B7}"/>
            </c:ext>
          </c:extLst>
        </c:ser>
        <c:ser>
          <c:idx val="1"/>
          <c:order val="1"/>
          <c:tx>
            <c:strRef>
              <c:f>Dashboard!$E$23</c:f>
              <c:strCache>
                <c:ptCount val="1"/>
                <c:pt idx="0">
                  <c:v>Avg Popularity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Dashboard!$E$24:$E$33</c:f>
              <c:numCache>
                <c:formatCode>0.0%</c:formatCode>
                <c:ptCount val="10"/>
                <c:pt idx="0">
                  <c:v>0.84318444444444429</c:v>
                </c:pt>
                <c:pt idx="1">
                  <c:v>0.76359333333333324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08-45C1-91D5-633CEDA3A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1426976"/>
        <c:axId val="1441431296"/>
      </c:barChart>
      <c:catAx>
        <c:axId val="144142697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431296"/>
        <c:crosses val="autoZero"/>
        <c:auto val="1"/>
        <c:lblAlgn val="ctr"/>
        <c:lblOffset val="100"/>
        <c:noMultiLvlLbl val="0"/>
      </c:catAx>
      <c:valAx>
        <c:axId val="144143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42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37</xdr:row>
      <xdr:rowOff>0</xdr:rowOff>
    </xdr:from>
    <xdr:to>
      <xdr:col>12</xdr:col>
      <xdr:colOff>0</xdr:colOff>
      <xdr:row>51</xdr:row>
      <xdr:rowOff>0</xdr:rowOff>
    </xdr:to>
    <xdr:graphicFrame macro="">
      <xdr:nvGraphicFramePr>
        <xdr:cNvPr id="3" name="Room Popularity">
          <a:extLst>
            <a:ext uri="{FF2B5EF4-FFF2-40B4-BE49-F238E27FC236}">
              <a16:creationId xmlns:a16="http://schemas.microsoft.com/office/drawing/2014/main" id="{B024ACB6-BFB9-2DD8-A4C3-5B08646FA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1C4D33-7933-4BDB-BE94-86D85114D683}" name="tblRawListings" displayName="tblRawListings" ref="A3:AG15" totalsRowShown="0" headerRowDxfId="39" dataDxfId="38" tableBorderDxfId="37">
  <autoFilter ref="A3:AG15" xr:uid="{311C4D33-7933-4BDB-BE94-86D85114D683}"/>
  <tableColumns count="33">
    <tableColumn id="1" xr3:uid="{1586A57B-B74B-46E1-AF0A-44922109734C}" name="listing_id" dataDxfId="36"/>
    <tableColumn id="2" xr3:uid="{30A7BCC2-7F22-4BA8-A733-9CD46834830A}" name="name" dataDxfId="35"/>
    <tableColumn id="3" xr3:uid="{5F3D37A4-44E1-471F-83F3-2B4C8235D191}" name="host_id" dataDxfId="34"/>
    <tableColumn id="4" xr3:uid="{6EBBD2A7-8099-464F-8245-CA4166A5EF0C}" name="host_since" dataDxfId="33"/>
    <tableColumn id="5" xr3:uid="{7AE0CC09-6D79-43DB-A0A7-33AB4C2827A1}" name="host_location" dataDxfId="32"/>
    <tableColumn id="6" xr3:uid="{03EE58E8-1594-43F3-93C9-7EE2C2EBC767}" name="host_response_time" dataDxfId="31"/>
    <tableColumn id="7" xr3:uid="{F6C22191-C3EA-4385-B08C-103904A99F8E}" name="host_response_rate" dataDxfId="30"/>
    <tableColumn id="8" xr3:uid="{2F3AADE2-41B2-48AA-A4D6-9797F642CC27}" name="host_acceptance_rate" dataDxfId="29"/>
    <tableColumn id="9" xr3:uid="{3A9BA358-4679-4CD4-8FCE-05DB465EFFD0}" name="host_is_superhost" dataDxfId="28"/>
    <tableColumn id="10" xr3:uid="{72F3DBE2-63B1-4D59-B006-02ECA5127E9C}" name="host_total_listings_count" dataDxfId="27"/>
    <tableColumn id="11" xr3:uid="{AD9F0C67-B8C3-4214-86E9-A559444DB238}" name="host_has_profile_pic" dataDxfId="26"/>
    <tableColumn id="12" xr3:uid="{A1DBB292-6C2B-41E4-BC40-75502071794C}" name="host_identity_verified" dataDxfId="25"/>
    <tableColumn id="13" xr3:uid="{4C294C24-30CE-494A-88C5-933389C3BF6C}" name="neighbourhood" dataDxfId="24"/>
    <tableColumn id="14" xr3:uid="{85BEF6F8-1709-47C8-9465-B6D2213013D4}" name="district" dataDxfId="23"/>
    <tableColumn id="15" xr3:uid="{78357FBD-A9DC-4119-9807-5928EFD44B2F}" name="city" dataDxfId="22"/>
    <tableColumn id="16" xr3:uid="{50374291-5F8F-4155-8E1B-7D47297663B4}" name="latitude" dataDxfId="21"/>
    <tableColumn id="17" xr3:uid="{8371B5A8-5481-423B-A52E-876560978C7E}" name="longitude" dataDxfId="20"/>
    <tableColumn id="18" xr3:uid="{974C1B5D-606B-40F2-AACB-D50C71E99F13}" name="property_type" dataDxfId="19"/>
    <tableColumn id="19" xr3:uid="{E8E14552-625D-472F-922B-C6670BA59CD1}" name="room_type" dataDxfId="18"/>
    <tableColumn id="20" xr3:uid="{FC7B6D58-235C-409C-9E50-AFC168463768}" name="accommodates" dataDxfId="17"/>
    <tableColumn id="21" xr3:uid="{5D716BBB-76BE-41BD-876F-488FC435B253}" name="bedrooms" dataDxfId="16"/>
    <tableColumn id="22" xr3:uid="{C9D028B3-73A1-4754-A8C6-AF2F0715CFBA}" name="amenities" dataDxfId="15"/>
    <tableColumn id="23" xr3:uid="{C3CE27A1-D453-4C8E-A120-6ADEF3E26985}" name="price" dataDxfId="14"/>
    <tableColumn id="24" xr3:uid="{DAC2ABEB-BFB2-46E9-85A4-610042B05A41}" name="minimum_nights" dataDxfId="13"/>
    <tableColumn id="25" xr3:uid="{411B470F-A6F3-4EDD-AE71-57FF9B33516F}" name="maximum_nights" dataDxfId="12"/>
    <tableColumn id="26" xr3:uid="{36C83E0E-CB94-4A8D-B10D-8E091FA2F199}" name="review_scores_rating" dataDxfId="11"/>
    <tableColumn id="27" xr3:uid="{7F2013F6-B541-4D63-9E93-E4A52F355C78}" name="review_scores_accuracy" dataDxfId="10"/>
    <tableColumn id="28" xr3:uid="{B5CFB1D1-5C52-4193-BAEC-4159330C07A6}" name="review_scores_cleanliness" dataDxfId="9"/>
    <tableColumn id="29" xr3:uid="{59912429-EA9E-4A46-A6B5-5C85C5DC6DCA}" name="review_scores_checkin" dataDxfId="8"/>
    <tableColumn id="30" xr3:uid="{5BB2FCED-C91C-4E4B-9DEB-FCBB43511E10}" name="review_scores_communication" dataDxfId="7"/>
    <tableColumn id="31" xr3:uid="{1314D536-2AB0-4939-B4EC-43643A7A4926}" name="review_scores_location" dataDxfId="6"/>
    <tableColumn id="32" xr3:uid="{AA615683-109C-4539-98D2-CA8BF4F0DF3E}" name="review_scores_value" dataDxfId="5"/>
    <tableColumn id="33" xr3:uid="{BEF7BD15-0875-4AE4-932F-BF60DD9FEDD9}" name="instant_bookabl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529111-5B82-4729-9C3D-68C56C8A2863}" name="tblDataDictionary" displayName="tblDataDictionary" ref="A3:B36" totalsRowShown="0" headerRowDxfId="3" dataDxfId="2">
  <autoFilter ref="A3:B36" xr:uid="{C1529111-5B82-4729-9C3D-68C56C8A2863}"/>
  <tableColumns count="2">
    <tableColumn id="1" xr3:uid="{764DB37B-E425-4347-BE71-61A84F696A19}" name="Field" dataDxfId="1"/>
    <tableColumn id="2" xr3:uid="{A5BB097A-BEF1-4C6E-8E41-5A551BAF75BC}" name="Defini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79AE41-5C3C-4F3E-8D10-BF8B2CC2B8CE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56638734-6cbc-4699-a49d-e19815e7672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A439-6D78-4717-876C-C397F86C3C8B}">
  <dimension ref="A1"/>
  <sheetViews>
    <sheetView tabSelected="1" workbookViewId="0">
      <selection activeCell="E11" sqref="E11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382A-F95D-4AC6-8B3B-C6735A132DAC}">
  <dimension ref="A1:AG15"/>
  <sheetViews>
    <sheetView showGridLines="0" topLeftCell="A4" workbookViewId="0">
      <pane xSplit="1" ySplit="1" topLeftCell="B5" activePane="bottomRight" state="frozen"/>
      <selection activeCell="A4" sqref="A4"/>
      <selection pane="topRight" activeCell="B4" sqref="B4"/>
      <selection pane="bottomLeft" activeCell="A5" sqref="A5"/>
      <selection pane="bottomRight" sqref="A1:AG1"/>
    </sheetView>
  </sheetViews>
  <sheetFormatPr defaultRowHeight="14.5" x14ac:dyDescent="0.35"/>
  <cols>
    <col min="1" max="1" width="10" bestFit="1" customWidth="1"/>
    <col min="2" max="2" width="7.36328125" bestFit="1" customWidth="1"/>
    <col min="3" max="3" width="8.81640625" bestFit="1" customWidth="1"/>
    <col min="4" max="4" width="11.1796875" bestFit="1" customWidth="1"/>
    <col min="5" max="5" width="13.54296875" bestFit="1" customWidth="1"/>
    <col min="6" max="6" width="18.7265625" bestFit="1" customWidth="1"/>
    <col min="7" max="7" width="18.36328125" bestFit="1" customWidth="1"/>
    <col min="8" max="8" width="20" bestFit="1" customWidth="1"/>
    <col min="9" max="9" width="17.1796875" bestFit="1" customWidth="1"/>
    <col min="10" max="10" width="22.6328125" bestFit="1" customWidth="1"/>
    <col min="11" max="11" width="19.08984375" bestFit="1" customWidth="1"/>
    <col min="12" max="12" width="20.08984375" bestFit="1" customWidth="1"/>
    <col min="13" max="13" width="14.90625" bestFit="1" customWidth="1"/>
    <col min="14" max="14" width="8.36328125" bestFit="1" customWidth="1"/>
    <col min="15" max="15" width="5.7265625" bestFit="1" customWidth="1"/>
    <col min="16" max="16" width="9.08984375" bestFit="1" customWidth="1"/>
    <col min="17" max="17" width="10.36328125" bestFit="1" customWidth="1"/>
    <col min="18" max="18" width="14" bestFit="1" customWidth="1"/>
    <col min="19" max="19" width="11.453125" bestFit="1" customWidth="1"/>
    <col min="20" max="20" width="14.54296875" bestFit="1" customWidth="1"/>
    <col min="21" max="21" width="10.81640625" bestFit="1" customWidth="1"/>
    <col min="22" max="22" width="10.54296875" bestFit="1" customWidth="1"/>
    <col min="23" max="23" width="6.81640625" bestFit="1" customWidth="1"/>
    <col min="24" max="24" width="16" bestFit="1" customWidth="1"/>
    <col min="25" max="25" width="16.26953125" bestFit="1" customWidth="1"/>
    <col min="26" max="26" width="19.36328125" bestFit="1" customWidth="1"/>
    <col min="27" max="27" width="21.36328125" bestFit="1" customWidth="1"/>
    <col min="28" max="28" width="23.1796875" bestFit="1" customWidth="1"/>
    <col min="29" max="29" width="20.6328125" bestFit="1" customWidth="1"/>
    <col min="30" max="30" width="26.81640625" bestFit="1" customWidth="1"/>
    <col min="31" max="31" width="21.08984375" bestFit="1" customWidth="1"/>
    <col min="32" max="32" width="18.90625" bestFit="1" customWidth="1"/>
    <col min="33" max="33" width="16.6328125" bestFit="1" customWidth="1"/>
  </cols>
  <sheetData>
    <row r="1" spans="1:33" ht="18.5" x14ac:dyDescent="0.45">
      <c r="A1" s="21" t="s">
        <v>98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x14ac:dyDescent="0.3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</row>
    <row r="4" spans="1:33" x14ac:dyDescent="0.35">
      <c r="A4" s="4">
        <v>10080</v>
      </c>
      <c r="B4" s="4" t="s">
        <v>99</v>
      </c>
      <c r="C4" s="4">
        <v>30899</v>
      </c>
      <c r="D4" s="14">
        <v>40035</v>
      </c>
      <c r="E4" s="4" t="s">
        <v>100</v>
      </c>
      <c r="F4" s="4" t="s">
        <v>101</v>
      </c>
      <c r="G4" s="15">
        <v>0.85</v>
      </c>
      <c r="H4" s="4" t="s">
        <v>102</v>
      </c>
      <c r="I4" s="4" t="b">
        <v>0</v>
      </c>
      <c r="J4" s="4">
        <v>31</v>
      </c>
      <c r="K4" s="4" t="b">
        <v>1</v>
      </c>
      <c r="L4" s="4" t="b">
        <v>1</v>
      </c>
      <c r="M4" s="4" t="s">
        <v>103</v>
      </c>
      <c r="N4" s="4" t="s">
        <v>104</v>
      </c>
      <c r="O4" s="4" t="s">
        <v>105</v>
      </c>
      <c r="P4" s="4">
        <v>49.287700000000001</v>
      </c>
      <c r="Q4" s="4">
        <v>-123.1211</v>
      </c>
      <c r="R4" s="4" t="s">
        <v>106</v>
      </c>
      <c r="S4" s="4" t="s">
        <v>107</v>
      </c>
      <c r="T4" s="4">
        <v>6</v>
      </c>
      <c r="U4" s="4">
        <v>2</v>
      </c>
      <c r="V4" s="4" t="s">
        <v>108</v>
      </c>
      <c r="W4" s="4">
        <v>295</v>
      </c>
      <c r="X4" s="4">
        <v>60</v>
      </c>
      <c r="Y4" s="4">
        <v>1124</v>
      </c>
      <c r="Z4" s="4">
        <v>93</v>
      </c>
      <c r="AA4" s="4">
        <v>9</v>
      </c>
      <c r="AB4" s="4">
        <v>9</v>
      </c>
      <c r="AC4" s="4">
        <v>10</v>
      </c>
      <c r="AD4" s="4">
        <v>9</v>
      </c>
      <c r="AE4" s="4">
        <v>10</v>
      </c>
      <c r="AF4" s="4">
        <v>9</v>
      </c>
      <c r="AG4" s="4" t="b">
        <v>0</v>
      </c>
    </row>
    <row r="5" spans="1:33" x14ac:dyDescent="0.35">
      <c r="A5" s="16">
        <v>11400</v>
      </c>
      <c r="B5" s="16" t="s">
        <v>109</v>
      </c>
      <c r="C5" s="16">
        <v>42305</v>
      </c>
      <c r="D5" s="18">
        <v>40086</v>
      </c>
      <c r="E5" s="16" t="s">
        <v>100</v>
      </c>
      <c r="F5" s="16" t="s">
        <v>102</v>
      </c>
      <c r="G5" s="16" t="s">
        <v>102</v>
      </c>
      <c r="H5" s="16" t="s">
        <v>102</v>
      </c>
      <c r="I5" s="16" t="b">
        <v>0</v>
      </c>
      <c r="J5" s="16">
        <v>1</v>
      </c>
      <c r="K5" s="16" t="b">
        <v>1</v>
      </c>
      <c r="L5" s="16" t="b">
        <v>1</v>
      </c>
      <c r="M5" s="16" t="s">
        <v>110</v>
      </c>
      <c r="N5" s="16" t="s">
        <v>110</v>
      </c>
      <c r="O5" s="16" t="s">
        <v>105</v>
      </c>
      <c r="P5" s="16">
        <v>49.253799999999998</v>
      </c>
      <c r="Q5" s="16">
        <v>-123.1127</v>
      </c>
      <c r="R5" s="16" t="s">
        <v>111</v>
      </c>
      <c r="S5" s="16" t="s">
        <v>112</v>
      </c>
      <c r="T5" s="16">
        <v>1</v>
      </c>
      <c r="U5" s="16">
        <v>1</v>
      </c>
      <c r="V5" s="16" t="s">
        <v>113</v>
      </c>
      <c r="W5" s="16">
        <v>60</v>
      </c>
      <c r="X5" s="16">
        <v>364</v>
      </c>
      <c r="Y5" s="16">
        <v>364</v>
      </c>
      <c r="Z5" s="16">
        <v>92</v>
      </c>
      <c r="AA5" s="16">
        <v>9</v>
      </c>
      <c r="AB5" s="16">
        <v>10</v>
      </c>
      <c r="AC5" s="16">
        <v>10</v>
      </c>
      <c r="AD5" s="16">
        <v>10</v>
      </c>
      <c r="AE5" s="16">
        <v>10</v>
      </c>
      <c r="AF5" s="16">
        <v>9</v>
      </c>
      <c r="AG5" s="16" t="b">
        <v>0</v>
      </c>
    </row>
    <row r="6" spans="1:33" x14ac:dyDescent="0.35">
      <c r="A6" s="17">
        <v>13188</v>
      </c>
      <c r="B6" s="17" t="s">
        <v>114</v>
      </c>
      <c r="C6" s="17">
        <v>51466</v>
      </c>
      <c r="D6" s="19">
        <v>40121</v>
      </c>
      <c r="E6" s="17" t="s">
        <v>100</v>
      </c>
      <c r="F6" s="17" t="s">
        <v>115</v>
      </c>
      <c r="G6" s="20">
        <v>1</v>
      </c>
      <c r="H6" s="20">
        <v>1</v>
      </c>
      <c r="I6" s="17" t="b">
        <v>1</v>
      </c>
      <c r="J6" s="17">
        <v>1</v>
      </c>
      <c r="K6" s="17" t="b">
        <v>1</v>
      </c>
      <c r="L6" s="17" t="b">
        <v>1</v>
      </c>
      <c r="M6" s="17" t="s">
        <v>110</v>
      </c>
      <c r="N6" s="17" t="s">
        <v>110</v>
      </c>
      <c r="O6" s="17" t="s">
        <v>105</v>
      </c>
      <c r="P6" s="17">
        <v>49.2485</v>
      </c>
      <c r="Q6" s="17">
        <v>-123.1069</v>
      </c>
      <c r="R6" s="17" t="s">
        <v>116</v>
      </c>
      <c r="S6" s="17" t="s">
        <v>107</v>
      </c>
      <c r="T6" s="17">
        <v>4</v>
      </c>
      <c r="U6" s="17">
        <v>0</v>
      </c>
      <c r="V6" s="17" t="s">
        <v>117</v>
      </c>
      <c r="W6" s="17">
        <v>108</v>
      </c>
      <c r="X6" s="17">
        <v>2</v>
      </c>
      <c r="Y6" s="17">
        <v>365</v>
      </c>
      <c r="Z6" s="17">
        <v>97</v>
      </c>
      <c r="AA6" s="17">
        <v>10</v>
      </c>
      <c r="AB6" s="17">
        <v>10</v>
      </c>
      <c r="AC6" s="17">
        <v>10</v>
      </c>
      <c r="AD6" s="17">
        <v>10</v>
      </c>
      <c r="AE6" s="17">
        <v>10</v>
      </c>
      <c r="AF6" s="17">
        <v>10</v>
      </c>
      <c r="AG6" s="17" t="b">
        <v>0</v>
      </c>
    </row>
    <row r="7" spans="1:33" x14ac:dyDescent="0.35">
      <c r="A7" s="17">
        <v>14267</v>
      </c>
      <c r="B7" s="17" t="s">
        <v>118</v>
      </c>
      <c r="C7" s="17">
        <v>56030</v>
      </c>
      <c r="D7" s="19">
        <v>40137</v>
      </c>
      <c r="E7" s="17" t="s">
        <v>100</v>
      </c>
      <c r="F7" s="17" t="s">
        <v>115</v>
      </c>
      <c r="G7" s="20">
        <v>1</v>
      </c>
      <c r="H7" s="20">
        <v>0.95</v>
      </c>
      <c r="I7" s="17" t="b">
        <v>1</v>
      </c>
      <c r="J7" s="17">
        <v>2</v>
      </c>
      <c r="K7" s="17" t="b">
        <v>1</v>
      </c>
      <c r="L7" s="17" t="b">
        <v>1</v>
      </c>
      <c r="M7" s="17" t="s">
        <v>119</v>
      </c>
      <c r="N7" s="17" t="s">
        <v>119</v>
      </c>
      <c r="O7" s="17" t="s">
        <v>105</v>
      </c>
      <c r="P7" s="17">
        <v>49.268300000000004</v>
      </c>
      <c r="Q7" s="17">
        <v>-123.1712</v>
      </c>
      <c r="R7" s="17" t="s">
        <v>120</v>
      </c>
      <c r="S7" s="17" t="s">
        <v>107</v>
      </c>
      <c r="T7" s="17">
        <v>2</v>
      </c>
      <c r="U7" s="17">
        <v>1</v>
      </c>
      <c r="V7" s="17" t="s">
        <v>121</v>
      </c>
      <c r="W7" s="17">
        <v>130</v>
      </c>
      <c r="X7" s="17">
        <v>3</v>
      </c>
      <c r="Y7" s="17">
        <v>365</v>
      </c>
      <c r="Z7" s="17">
        <v>96</v>
      </c>
      <c r="AA7" s="17">
        <v>10</v>
      </c>
      <c r="AB7" s="17">
        <v>10</v>
      </c>
      <c r="AC7" s="17">
        <v>10</v>
      </c>
      <c r="AD7" s="17">
        <v>10</v>
      </c>
      <c r="AE7" s="17">
        <v>10</v>
      </c>
      <c r="AF7" s="17">
        <v>10</v>
      </c>
      <c r="AG7" s="17" t="b">
        <v>1</v>
      </c>
    </row>
    <row r="8" spans="1:33" x14ac:dyDescent="0.35">
      <c r="A8" s="17">
        <v>16254</v>
      </c>
      <c r="B8" s="17" t="s">
        <v>122</v>
      </c>
      <c r="C8" s="17">
        <v>63274</v>
      </c>
      <c r="D8" s="19">
        <v>40157</v>
      </c>
      <c r="E8" s="17" t="s">
        <v>100</v>
      </c>
      <c r="F8" s="17" t="s">
        <v>123</v>
      </c>
      <c r="G8" s="20">
        <v>0.9</v>
      </c>
      <c r="H8" s="20">
        <v>0.8</v>
      </c>
      <c r="I8" s="17" t="b">
        <v>0</v>
      </c>
      <c r="J8" s="17">
        <v>1</v>
      </c>
      <c r="K8" s="17" t="b">
        <v>1</v>
      </c>
      <c r="L8" s="17" t="b">
        <v>1</v>
      </c>
      <c r="M8" s="17" t="s">
        <v>124</v>
      </c>
      <c r="N8" s="17" t="s">
        <v>125</v>
      </c>
      <c r="O8" s="17" t="s">
        <v>105</v>
      </c>
      <c r="P8" s="17">
        <v>49.2637</v>
      </c>
      <c r="Q8" s="17">
        <v>-123.1926</v>
      </c>
      <c r="R8" s="17" t="s">
        <v>111</v>
      </c>
      <c r="S8" s="17" t="s">
        <v>112</v>
      </c>
      <c r="T8" s="17">
        <v>2</v>
      </c>
      <c r="U8" s="17">
        <v>1</v>
      </c>
      <c r="V8" s="17" t="s">
        <v>126</v>
      </c>
      <c r="W8" s="17">
        <v>75</v>
      </c>
      <c r="X8" s="17">
        <v>2</v>
      </c>
      <c r="Y8" s="17">
        <v>180</v>
      </c>
      <c r="Z8" s="17">
        <v>91</v>
      </c>
      <c r="AA8" s="17">
        <v>9</v>
      </c>
      <c r="AB8" s="17">
        <v>9</v>
      </c>
      <c r="AC8" s="17">
        <v>10</v>
      </c>
      <c r="AD8" s="17">
        <v>10</v>
      </c>
      <c r="AE8" s="17">
        <v>10</v>
      </c>
      <c r="AF8" s="17">
        <v>9</v>
      </c>
      <c r="AG8" s="17" t="b">
        <v>0</v>
      </c>
    </row>
    <row r="9" spans="1:33" x14ac:dyDescent="0.35">
      <c r="A9" s="17">
        <v>16621</v>
      </c>
      <c r="B9" s="17" t="s">
        <v>127</v>
      </c>
      <c r="C9" s="17">
        <v>65410</v>
      </c>
      <c r="D9" s="19">
        <v>40165</v>
      </c>
      <c r="E9" s="17" t="s">
        <v>100</v>
      </c>
      <c r="F9" s="17" t="s">
        <v>115</v>
      </c>
      <c r="G9" s="20">
        <v>1</v>
      </c>
      <c r="H9" s="20">
        <v>1</v>
      </c>
      <c r="I9" s="17" t="b">
        <v>1</v>
      </c>
      <c r="J9" s="17">
        <v>3</v>
      </c>
      <c r="K9" s="17" t="b">
        <v>1</v>
      </c>
      <c r="L9" s="17" t="b">
        <v>1</v>
      </c>
      <c r="M9" s="17" t="s">
        <v>128</v>
      </c>
      <c r="N9" s="17" t="s">
        <v>128</v>
      </c>
      <c r="O9" s="17" t="s">
        <v>105</v>
      </c>
      <c r="P9" s="17">
        <v>49.282299999999999</v>
      </c>
      <c r="Q9" s="17">
        <v>-123.12949999999999</v>
      </c>
      <c r="R9" s="17" t="s">
        <v>129</v>
      </c>
      <c r="S9" s="17" t="s">
        <v>107</v>
      </c>
      <c r="T9" s="17">
        <v>3</v>
      </c>
      <c r="U9" s="17">
        <v>1</v>
      </c>
      <c r="V9" s="17" t="s">
        <v>130</v>
      </c>
      <c r="W9" s="17">
        <v>125</v>
      </c>
      <c r="X9" s="17">
        <v>2</v>
      </c>
      <c r="Y9" s="17">
        <v>365</v>
      </c>
      <c r="Z9" s="17">
        <v>98</v>
      </c>
      <c r="AA9" s="17">
        <v>10</v>
      </c>
      <c r="AB9" s="17">
        <v>10</v>
      </c>
      <c r="AC9" s="17">
        <v>10</v>
      </c>
      <c r="AD9" s="17">
        <v>10</v>
      </c>
      <c r="AE9" s="17">
        <v>10</v>
      </c>
      <c r="AF9" s="17">
        <v>10</v>
      </c>
      <c r="AG9" s="17" t="b">
        <v>1</v>
      </c>
    </row>
    <row r="10" spans="1:33" x14ac:dyDescent="0.35">
      <c r="A10" s="17">
        <v>170137</v>
      </c>
      <c r="B10" s="17" t="s">
        <v>131</v>
      </c>
      <c r="C10" s="17">
        <v>381497</v>
      </c>
      <c r="D10" s="19">
        <v>40581</v>
      </c>
      <c r="E10" s="17" t="s">
        <v>100</v>
      </c>
      <c r="F10" s="17" t="s">
        <v>101</v>
      </c>
      <c r="G10" s="20">
        <v>0.95</v>
      </c>
      <c r="H10" s="20">
        <v>0.9</v>
      </c>
      <c r="I10" s="17" t="b">
        <v>1</v>
      </c>
      <c r="J10" s="17">
        <v>1</v>
      </c>
      <c r="K10" s="17" t="b">
        <v>1</v>
      </c>
      <c r="L10" s="17" t="b">
        <v>0</v>
      </c>
      <c r="M10" s="17" t="s">
        <v>124</v>
      </c>
      <c r="N10" s="17" t="s">
        <v>125</v>
      </c>
      <c r="O10" s="17" t="s">
        <v>105</v>
      </c>
      <c r="P10" s="17">
        <v>49.266100000000002</v>
      </c>
      <c r="Q10" s="17">
        <v>-123.202</v>
      </c>
      <c r="R10" s="17" t="s">
        <v>111</v>
      </c>
      <c r="S10" s="17" t="s">
        <v>107</v>
      </c>
      <c r="T10" s="17">
        <v>6</v>
      </c>
      <c r="U10" s="17">
        <v>3</v>
      </c>
      <c r="V10" s="17" t="s">
        <v>132</v>
      </c>
      <c r="W10" s="17">
        <v>250</v>
      </c>
      <c r="X10" s="17">
        <v>5</v>
      </c>
      <c r="Y10" s="17">
        <v>365</v>
      </c>
      <c r="Z10" s="17">
        <v>97</v>
      </c>
      <c r="AA10" s="17">
        <v>10</v>
      </c>
      <c r="AB10" s="17">
        <v>10</v>
      </c>
      <c r="AC10" s="17">
        <v>10</v>
      </c>
      <c r="AD10" s="17">
        <v>10</v>
      </c>
      <c r="AE10" s="17">
        <v>10</v>
      </c>
      <c r="AF10" s="17">
        <v>10</v>
      </c>
      <c r="AG10" s="17" t="b">
        <v>0</v>
      </c>
    </row>
    <row r="11" spans="1:33" x14ac:dyDescent="0.35">
      <c r="A11" s="17">
        <v>281420</v>
      </c>
      <c r="B11" s="17" t="s">
        <v>133</v>
      </c>
      <c r="C11" s="17">
        <v>112245</v>
      </c>
      <c r="D11" s="19">
        <v>40695</v>
      </c>
      <c r="E11" s="17" t="s">
        <v>134</v>
      </c>
      <c r="F11" s="17" t="s">
        <v>101</v>
      </c>
      <c r="G11" s="20">
        <v>0.92</v>
      </c>
      <c r="H11" s="20">
        <v>0.91</v>
      </c>
      <c r="I11" s="17" t="b">
        <v>0</v>
      </c>
      <c r="J11" s="17">
        <v>1</v>
      </c>
      <c r="K11" s="17" t="b">
        <v>1</v>
      </c>
      <c r="L11" s="17" t="b">
        <v>1</v>
      </c>
      <c r="M11" s="17" t="s">
        <v>135</v>
      </c>
      <c r="N11" s="17" t="s">
        <v>136</v>
      </c>
      <c r="O11" s="17" t="s">
        <v>137</v>
      </c>
      <c r="P11" s="17">
        <v>48.886699999999998</v>
      </c>
      <c r="Q11" s="17">
        <v>2.3431000000000002</v>
      </c>
      <c r="R11" s="17" t="s">
        <v>129</v>
      </c>
      <c r="S11" s="17" t="s">
        <v>107</v>
      </c>
      <c r="T11" s="17">
        <v>2</v>
      </c>
      <c r="U11" s="17">
        <v>1</v>
      </c>
      <c r="V11" s="17" t="s">
        <v>138</v>
      </c>
      <c r="W11" s="17">
        <v>53</v>
      </c>
      <c r="X11" s="17">
        <v>2</v>
      </c>
      <c r="Y11" s="17">
        <v>365</v>
      </c>
      <c r="Z11" s="17">
        <v>100</v>
      </c>
      <c r="AA11" s="17">
        <v>10</v>
      </c>
      <c r="AB11" s="17">
        <v>10</v>
      </c>
      <c r="AC11" s="17">
        <v>10</v>
      </c>
      <c r="AD11" s="17">
        <v>10</v>
      </c>
      <c r="AE11" s="17">
        <v>10</v>
      </c>
      <c r="AF11" s="17">
        <v>10</v>
      </c>
      <c r="AG11" s="17" t="b">
        <v>0</v>
      </c>
    </row>
    <row r="12" spans="1:33" x14ac:dyDescent="0.35">
      <c r="A12" s="17">
        <v>330231</v>
      </c>
      <c r="B12" s="17" t="s">
        <v>139</v>
      </c>
      <c r="C12" s="17">
        <v>811222</v>
      </c>
      <c r="D12" s="19">
        <v>40796</v>
      </c>
      <c r="E12" s="17" t="s">
        <v>134</v>
      </c>
      <c r="F12" s="17" t="s">
        <v>115</v>
      </c>
      <c r="G12" s="20">
        <v>1</v>
      </c>
      <c r="H12" s="20">
        <v>0.98</v>
      </c>
      <c r="I12" s="17" t="b">
        <v>1</v>
      </c>
      <c r="J12" s="17">
        <v>2</v>
      </c>
      <c r="K12" s="17" t="b">
        <v>1</v>
      </c>
      <c r="L12" s="17" t="b">
        <v>1</v>
      </c>
      <c r="M12" s="17" t="s">
        <v>140</v>
      </c>
      <c r="N12" s="17" t="s">
        <v>141</v>
      </c>
      <c r="O12" s="17" t="s">
        <v>137</v>
      </c>
      <c r="P12" s="17">
        <v>48.8611</v>
      </c>
      <c r="Q12" s="17">
        <v>2.3635999999999999</v>
      </c>
      <c r="R12" s="17" t="s">
        <v>129</v>
      </c>
      <c r="S12" s="17" t="s">
        <v>107</v>
      </c>
      <c r="T12" s="17">
        <v>2</v>
      </c>
      <c r="U12" s="17">
        <v>1</v>
      </c>
      <c r="V12" s="17" t="s">
        <v>142</v>
      </c>
      <c r="W12" s="17">
        <v>115</v>
      </c>
      <c r="X12" s="17">
        <v>2</v>
      </c>
      <c r="Y12" s="17">
        <v>90</v>
      </c>
      <c r="Z12" s="17">
        <v>98</v>
      </c>
      <c r="AA12" s="17">
        <v>10</v>
      </c>
      <c r="AB12" s="17">
        <v>10</v>
      </c>
      <c r="AC12" s="17">
        <v>10</v>
      </c>
      <c r="AD12" s="17">
        <v>10</v>
      </c>
      <c r="AE12" s="17">
        <v>10</v>
      </c>
      <c r="AF12" s="17">
        <v>9</v>
      </c>
      <c r="AG12" s="17" t="b">
        <v>1</v>
      </c>
    </row>
    <row r="13" spans="1:33" x14ac:dyDescent="0.35">
      <c r="A13" s="17">
        <v>440412</v>
      </c>
      <c r="B13" s="17" t="s">
        <v>143</v>
      </c>
      <c r="C13" s="17">
        <v>992100</v>
      </c>
      <c r="D13" s="19">
        <v>40920</v>
      </c>
      <c r="E13" s="17" t="s">
        <v>144</v>
      </c>
      <c r="F13" s="17" t="s">
        <v>123</v>
      </c>
      <c r="G13" s="20">
        <v>0.88</v>
      </c>
      <c r="H13" s="20">
        <v>0.82</v>
      </c>
      <c r="I13" s="17" t="b">
        <v>0</v>
      </c>
      <c r="J13" s="17">
        <v>1</v>
      </c>
      <c r="K13" s="17" t="b">
        <v>1</v>
      </c>
      <c r="L13" s="17" t="b">
        <v>1</v>
      </c>
      <c r="M13" s="17" t="s">
        <v>145</v>
      </c>
      <c r="N13" s="17" t="s">
        <v>145</v>
      </c>
      <c r="O13" s="17" t="s">
        <v>146</v>
      </c>
      <c r="P13" s="17">
        <v>51.545000000000002</v>
      </c>
      <c r="Q13" s="17">
        <v>-0.16200000000000001</v>
      </c>
      <c r="R13" s="17" t="s">
        <v>147</v>
      </c>
      <c r="S13" s="17" t="s">
        <v>112</v>
      </c>
      <c r="T13" s="17">
        <v>2</v>
      </c>
      <c r="U13" s="17">
        <v>1</v>
      </c>
      <c r="V13" s="17" t="s">
        <v>148</v>
      </c>
      <c r="W13" s="17">
        <v>85</v>
      </c>
      <c r="X13" s="17">
        <v>1</v>
      </c>
      <c r="Y13" s="17">
        <v>60</v>
      </c>
      <c r="Z13" s="17">
        <v>90</v>
      </c>
      <c r="AA13" s="17">
        <v>9</v>
      </c>
      <c r="AB13" s="17">
        <v>9</v>
      </c>
      <c r="AC13" s="17">
        <v>9</v>
      </c>
      <c r="AD13" s="17">
        <v>10</v>
      </c>
      <c r="AE13" s="17">
        <v>9</v>
      </c>
      <c r="AF13" s="17">
        <v>9</v>
      </c>
      <c r="AG13" s="17" t="b">
        <v>1</v>
      </c>
    </row>
    <row r="14" spans="1:33" x14ac:dyDescent="0.35">
      <c r="A14" s="17">
        <v>551230</v>
      </c>
      <c r="B14" s="17" t="s">
        <v>149</v>
      </c>
      <c r="C14" s="17">
        <v>1500200</v>
      </c>
      <c r="D14" s="19">
        <v>41037</v>
      </c>
      <c r="E14" s="17" t="s">
        <v>144</v>
      </c>
      <c r="F14" s="17" t="s">
        <v>115</v>
      </c>
      <c r="G14" s="20">
        <v>1</v>
      </c>
      <c r="H14" s="20">
        <v>0.96</v>
      </c>
      <c r="I14" s="17" t="b">
        <v>1</v>
      </c>
      <c r="J14" s="17">
        <v>4</v>
      </c>
      <c r="K14" s="17" t="b">
        <v>1</v>
      </c>
      <c r="L14" s="17" t="b">
        <v>1</v>
      </c>
      <c r="M14" s="17" t="s">
        <v>150</v>
      </c>
      <c r="N14" s="17" t="s">
        <v>151</v>
      </c>
      <c r="O14" s="17" t="s">
        <v>146</v>
      </c>
      <c r="P14" s="17">
        <v>51.526000000000003</v>
      </c>
      <c r="Q14" s="17">
        <v>-7.8E-2</v>
      </c>
      <c r="R14" s="17" t="s">
        <v>129</v>
      </c>
      <c r="S14" s="17" t="s">
        <v>107</v>
      </c>
      <c r="T14" s="17">
        <v>4</v>
      </c>
      <c r="U14" s="17">
        <v>2</v>
      </c>
      <c r="V14" s="17" t="s">
        <v>152</v>
      </c>
      <c r="W14" s="17">
        <v>180</v>
      </c>
      <c r="X14" s="17">
        <v>3</v>
      </c>
      <c r="Y14" s="17">
        <v>180</v>
      </c>
      <c r="Z14" s="17">
        <v>96</v>
      </c>
      <c r="AA14" s="17">
        <v>10</v>
      </c>
      <c r="AB14" s="17">
        <v>9</v>
      </c>
      <c r="AC14" s="17">
        <v>10</v>
      </c>
      <c r="AD14" s="17">
        <v>10</v>
      </c>
      <c r="AE14" s="17">
        <v>9</v>
      </c>
      <c r="AF14" s="17">
        <v>9</v>
      </c>
      <c r="AG14" s="17" t="b">
        <v>1</v>
      </c>
    </row>
    <row r="15" spans="1:33" x14ac:dyDescent="0.35">
      <c r="A15" s="17">
        <v>700981</v>
      </c>
      <c r="B15" s="17" t="s">
        <v>153</v>
      </c>
      <c r="C15" s="17">
        <v>2011440</v>
      </c>
      <c r="D15" s="19">
        <v>41320</v>
      </c>
      <c r="E15" s="17" t="s">
        <v>154</v>
      </c>
      <c r="F15" s="17" t="s">
        <v>101</v>
      </c>
      <c r="G15" s="20">
        <v>0.94</v>
      </c>
      <c r="H15" s="20">
        <v>0.9</v>
      </c>
      <c r="I15" s="17" t="b">
        <v>1</v>
      </c>
      <c r="J15" s="17">
        <v>2</v>
      </c>
      <c r="K15" s="17" t="b">
        <v>1</v>
      </c>
      <c r="L15" s="17" t="b">
        <v>1</v>
      </c>
      <c r="M15" s="17" t="s">
        <v>155</v>
      </c>
      <c r="N15" s="17" t="s">
        <v>156</v>
      </c>
      <c r="O15" s="17" t="s">
        <v>157</v>
      </c>
      <c r="P15" s="17">
        <v>40.713999999999999</v>
      </c>
      <c r="Q15" s="17">
        <v>-73.960999999999999</v>
      </c>
      <c r="R15" s="17" t="s">
        <v>120</v>
      </c>
      <c r="S15" s="17" t="s">
        <v>107</v>
      </c>
      <c r="T15" s="17">
        <v>3</v>
      </c>
      <c r="U15" s="17">
        <v>1</v>
      </c>
      <c r="V15" s="17" t="s">
        <v>158</v>
      </c>
      <c r="W15" s="17">
        <v>210</v>
      </c>
      <c r="X15" s="17">
        <v>2</v>
      </c>
      <c r="Y15" s="17">
        <v>120</v>
      </c>
      <c r="Z15" s="17">
        <v>95</v>
      </c>
      <c r="AA15" s="17">
        <v>10</v>
      </c>
      <c r="AB15" s="17">
        <v>9</v>
      </c>
      <c r="AC15" s="17">
        <v>10</v>
      </c>
      <c r="AD15" s="17">
        <v>10</v>
      </c>
      <c r="AE15" s="17">
        <v>9</v>
      </c>
      <c r="AF15" s="17">
        <v>9</v>
      </c>
      <c r="AG15" s="17" t="b">
        <v>1</v>
      </c>
    </row>
  </sheetData>
  <mergeCells count="1">
    <mergeCell ref="A1:A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2262-684D-495B-AAB9-7BA0674D2A4D}">
  <dimension ref="A1:P15"/>
  <sheetViews>
    <sheetView showGridLines="0" topLeftCell="D4" workbookViewId="0">
      <pane xSplit="1" ySplit="1" topLeftCell="E5" activePane="bottomRight" state="frozen"/>
      <selection activeCell="D4" sqref="D4"/>
      <selection pane="topRight" activeCell="E4" sqref="E4"/>
      <selection pane="bottomLeft" activeCell="D5" sqref="D5"/>
      <selection pane="bottomRight" activeCell="G9" sqref="G9"/>
    </sheetView>
  </sheetViews>
  <sheetFormatPr defaultRowHeight="14.5" x14ac:dyDescent="0.35"/>
  <cols>
    <col min="1" max="1" width="6.26953125" bestFit="1" customWidth="1"/>
    <col min="2" max="2" width="17.54296875" bestFit="1" customWidth="1"/>
    <col min="4" max="4" width="7.7265625" bestFit="1" customWidth="1"/>
    <col min="5" max="5" width="5.08984375" bestFit="1" customWidth="1"/>
    <col min="6" max="6" width="3.453125" bestFit="1" customWidth="1"/>
    <col min="7" max="7" width="9.1796875" bestFit="1" customWidth="1"/>
    <col min="8" max="8" width="4.54296875" bestFit="1" customWidth="1"/>
    <col min="9" max="9" width="5.26953125" bestFit="1" customWidth="1"/>
    <col min="10" max="10" width="9.81640625" bestFit="1" customWidth="1"/>
    <col min="11" max="11" width="11.90625" bestFit="1" customWidth="1"/>
    <col min="12" max="12" width="9.08984375" bestFit="1" customWidth="1"/>
    <col min="13" max="13" width="12.6328125" bestFit="1" customWidth="1"/>
    <col min="14" max="14" width="13.7265625" bestFit="1" customWidth="1"/>
  </cols>
  <sheetData>
    <row r="1" spans="1:16" ht="18.5" x14ac:dyDescent="0.45">
      <c r="A1" s="21" t="s">
        <v>33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3"/>
      <c r="N1" s="23"/>
    </row>
    <row r="2" spans="1:16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x14ac:dyDescent="0.35">
      <c r="A3" s="2" t="s">
        <v>34</v>
      </c>
      <c r="B3" s="2" t="s">
        <v>35</v>
      </c>
      <c r="C3" s="2"/>
      <c r="D3" s="2" t="s">
        <v>0</v>
      </c>
      <c r="E3" s="2" t="s">
        <v>1</v>
      </c>
      <c r="F3" s="2" t="s">
        <v>14</v>
      </c>
      <c r="G3" s="2" t="s">
        <v>18</v>
      </c>
      <c r="H3" s="2" t="s">
        <v>22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t="s">
        <v>159</v>
      </c>
      <c r="P3" t="s">
        <v>160</v>
      </c>
    </row>
    <row r="4" spans="1:16" x14ac:dyDescent="0.35">
      <c r="A4" s="5">
        <v>0.3</v>
      </c>
      <c r="B4" s="2" t="s">
        <v>36</v>
      </c>
      <c r="C4" s="2"/>
      <c r="D4" s="2">
        <v>16621</v>
      </c>
      <c r="E4" s="2" t="s">
        <v>127</v>
      </c>
      <c r="F4" s="2" t="s">
        <v>105</v>
      </c>
      <c r="G4" s="2" t="s">
        <v>107</v>
      </c>
      <c r="H4" s="2">
        <v>125</v>
      </c>
      <c r="I4" s="2">
        <v>98</v>
      </c>
      <c r="J4" s="2">
        <v>10</v>
      </c>
      <c r="K4" s="2">
        <v>10</v>
      </c>
      <c r="L4" s="2">
        <v>10</v>
      </c>
      <c r="M4" s="2">
        <v>10</v>
      </c>
      <c r="N4" s="2">
        <v>0.89500000000000002</v>
      </c>
      <c r="O4">
        <v>1</v>
      </c>
      <c r="P4" t="s">
        <v>161</v>
      </c>
    </row>
    <row r="5" spans="1:16" x14ac:dyDescent="0.35">
      <c r="A5" s="5">
        <v>0.15</v>
      </c>
      <c r="B5" s="2" t="s">
        <v>37</v>
      </c>
      <c r="C5" s="2"/>
      <c r="D5" s="2">
        <v>14267</v>
      </c>
      <c r="E5" s="2" t="s">
        <v>118</v>
      </c>
      <c r="F5" s="2" t="s">
        <v>105</v>
      </c>
      <c r="G5" s="2" t="s">
        <v>107</v>
      </c>
      <c r="H5" s="2">
        <v>130</v>
      </c>
      <c r="I5" s="2">
        <v>96</v>
      </c>
      <c r="J5" s="2">
        <v>10</v>
      </c>
      <c r="K5" s="2">
        <v>10</v>
      </c>
      <c r="L5" s="2">
        <v>10</v>
      </c>
      <c r="M5" s="2">
        <v>10</v>
      </c>
      <c r="N5" s="2">
        <v>0.88900000000000001</v>
      </c>
      <c r="O5">
        <v>2</v>
      </c>
      <c r="P5" t="s">
        <v>161</v>
      </c>
    </row>
    <row r="6" spans="1:16" x14ac:dyDescent="0.35">
      <c r="A6" s="5">
        <v>0.15</v>
      </c>
      <c r="B6" s="2" t="s">
        <v>38</v>
      </c>
      <c r="C6" s="2"/>
      <c r="D6" s="2">
        <v>330231</v>
      </c>
      <c r="E6" s="2" t="s">
        <v>139</v>
      </c>
      <c r="F6" s="2" t="s">
        <v>137</v>
      </c>
      <c r="G6" s="2" t="s">
        <v>107</v>
      </c>
      <c r="H6" s="2">
        <v>115</v>
      </c>
      <c r="I6" s="2">
        <v>98</v>
      </c>
      <c r="J6" s="2">
        <v>9</v>
      </c>
      <c r="K6" s="2">
        <v>10</v>
      </c>
      <c r="L6" s="2">
        <v>10</v>
      </c>
      <c r="M6" s="2">
        <v>10</v>
      </c>
      <c r="N6" s="2">
        <v>0.88</v>
      </c>
      <c r="O6">
        <v>3</v>
      </c>
      <c r="P6" t="s">
        <v>161</v>
      </c>
    </row>
    <row r="7" spans="1:16" x14ac:dyDescent="0.35">
      <c r="A7" s="5">
        <v>0.1</v>
      </c>
      <c r="B7" s="2" t="s">
        <v>39</v>
      </c>
      <c r="C7" s="2"/>
      <c r="D7" s="2">
        <v>551230</v>
      </c>
      <c r="E7" s="2" t="s">
        <v>149</v>
      </c>
      <c r="F7" s="2" t="s">
        <v>146</v>
      </c>
      <c r="G7" s="2" t="s">
        <v>107</v>
      </c>
      <c r="H7" s="2">
        <v>180</v>
      </c>
      <c r="I7" s="2">
        <v>96</v>
      </c>
      <c r="J7" s="2">
        <v>9</v>
      </c>
      <c r="K7" s="2">
        <v>9</v>
      </c>
      <c r="L7" s="2">
        <v>9</v>
      </c>
      <c r="M7" s="2">
        <v>10</v>
      </c>
      <c r="N7" s="2">
        <v>0.84900000000000009</v>
      </c>
      <c r="O7">
        <v>4</v>
      </c>
      <c r="P7" t="s">
        <v>162</v>
      </c>
    </row>
    <row r="8" spans="1:16" x14ac:dyDescent="0.35">
      <c r="A8" s="5">
        <v>0.1</v>
      </c>
      <c r="B8" s="2" t="s">
        <v>40</v>
      </c>
      <c r="C8" s="2"/>
      <c r="D8" s="2">
        <v>700981</v>
      </c>
      <c r="E8" s="2" t="s">
        <v>153</v>
      </c>
      <c r="F8" s="2" t="s">
        <v>157</v>
      </c>
      <c r="G8" s="2" t="s">
        <v>107</v>
      </c>
      <c r="H8" s="2">
        <v>210</v>
      </c>
      <c r="I8" s="2">
        <v>95</v>
      </c>
      <c r="J8" s="2">
        <v>9</v>
      </c>
      <c r="K8" s="2">
        <v>9</v>
      </c>
      <c r="L8" s="2">
        <v>9</v>
      </c>
      <c r="M8" s="2">
        <v>10</v>
      </c>
      <c r="N8" s="2">
        <v>0.84594000000000003</v>
      </c>
      <c r="O8">
        <v>5</v>
      </c>
      <c r="P8" t="s">
        <v>162</v>
      </c>
    </row>
    <row r="9" spans="1:16" x14ac:dyDescent="0.35">
      <c r="A9" s="5">
        <v>0.1</v>
      </c>
      <c r="B9" s="2" t="s">
        <v>41</v>
      </c>
      <c r="C9" s="2"/>
      <c r="D9" s="2">
        <v>13188</v>
      </c>
      <c r="E9" s="2" t="s">
        <v>114</v>
      </c>
      <c r="F9" s="2" t="s">
        <v>105</v>
      </c>
      <c r="G9" s="2" t="s">
        <v>107</v>
      </c>
      <c r="H9" s="2">
        <v>108</v>
      </c>
      <c r="I9" s="2">
        <v>97</v>
      </c>
      <c r="J9" s="2">
        <v>10</v>
      </c>
      <c r="K9" s="2">
        <v>10</v>
      </c>
      <c r="L9" s="2">
        <v>10</v>
      </c>
      <c r="M9" s="2">
        <v>10</v>
      </c>
      <c r="N9" s="2">
        <v>0.84199999999999997</v>
      </c>
      <c r="O9">
        <v>6</v>
      </c>
      <c r="P9" t="s">
        <v>162</v>
      </c>
    </row>
    <row r="10" spans="1:16" x14ac:dyDescent="0.35">
      <c r="A10" s="5">
        <v>0.05</v>
      </c>
      <c r="B10" s="2" t="s">
        <v>42</v>
      </c>
      <c r="C10" s="2"/>
      <c r="D10" s="2">
        <v>170137</v>
      </c>
      <c r="E10" s="2" t="s">
        <v>131</v>
      </c>
      <c r="F10" s="2" t="s">
        <v>105</v>
      </c>
      <c r="G10" s="2" t="s">
        <v>107</v>
      </c>
      <c r="H10" s="2">
        <v>250</v>
      </c>
      <c r="I10" s="2">
        <v>97</v>
      </c>
      <c r="J10" s="2">
        <v>10</v>
      </c>
      <c r="K10" s="2">
        <v>10</v>
      </c>
      <c r="L10" s="2">
        <v>10</v>
      </c>
      <c r="M10" s="2">
        <v>10</v>
      </c>
      <c r="N10" s="2">
        <v>0.84194999999999998</v>
      </c>
      <c r="O10">
        <v>7</v>
      </c>
      <c r="P10" t="s">
        <v>162</v>
      </c>
    </row>
    <row r="11" spans="1:16" x14ac:dyDescent="0.35">
      <c r="A11" s="5">
        <v>0.05</v>
      </c>
      <c r="B11" s="2" t="s">
        <v>43</v>
      </c>
      <c r="C11" s="2"/>
      <c r="D11" s="2">
        <v>281420</v>
      </c>
      <c r="E11" s="2" t="s">
        <v>133</v>
      </c>
      <c r="F11" s="2" t="s">
        <v>137</v>
      </c>
      <c r="G11" s="2" t="s">
        <v>107</v>
      </c>
      <c r="H11" s="2">
        <v>53</v>
      </c>
      <c r="I11" s="2">
        <v>100</v>
      </c>
      <c r="J11" s="2">
        <v>10</v>
      </c>
      <c r="K11" s="2">
        <v>10</v>
      </c>
      <c r="L11" s="2">
        <v>10</v>
      </c>
      <c r="M11" s="2">
        <v>10</v>
      </c>
      <c r="N11" s="2">
        <v>0.80091999999999997</v>
      </c>
      <c r="O11">
        <v>8</v>
      </c>
      <c r="P11" t="s">
        <v>162</v>
      </c>
    </row>
    <row r="12" spans="1:16" x14ac:dyDescent="0.35">
      <c r="D12">
        <v>440412</v>
      </c>
      <c r="E12" t="s">
        <v>143</v>
      </c>
      <c r="F12" t="s">
        <v>146</v>
      </c>
      <c r="G12" t="s">
        <v>112</v>
      </c>
      <c r="H12">
        <v>85</v>
      </c>
      <c r="I12">
        <v>90</v>
      </c>
      <c r="J12">
        <v>9</v>
      </c>
      <c r="K12">
        <v>9</v>
      </c>
      <c r="L12">
        <v>9</v>
      </c>
      <c r="M12">
        <v>10</v>
      </c>
      <c r="N12">
        <v>0.78088000000000002</v>
      </c>
      <c r="O12">
        <v>9</v>
      </c>
      <c r="P12" t="s">
        <v>162</v>
      </c>
    </row>
    <row r="13" spans="1:16" x14ac:dyDescent="0.35">
      <c r="D13">
        <v>11400</v>
      </c>
      <c r="E13" t="s">
        <v>109</v>
      </c>
      <c r="F13" t="s">
        <v>105</v>
      </c>
      <c r="G13" t="s">
        <v>112</v>
      </c>
      <c r="H13">
        <v>60</v>
      </c>
      <c r="I13">
        <v>92</v>
      </c>
      <c r="J13">
        <v>9</v>
      </c>
      <c r="K13">
        <v>10</v>
      </c>
      <c r="L13">
        <v>10</v>
      </c>
      <c r="M13">
        <v>10</v>
      </c>
      <c r="N13">
        <v>0.76100000000000001</v>
      </c>
      <c r="O13">
        <v>10</v>
      </c>
      <c r="P13" t="s">
        <v>162</v>
      </c>
    </row>
    <row r="14" spans="1:16" x14ac:dyDescent="0.35">
      <c r="D14">
        <v>16254</v>
      </c>
      <c r="E14" t="s">
        <v>122</v>
      </c>
      <c r="F14" t="s">
        <v>105</v>
      </c>
      <c r="G14" t="s">
        <v>112</v>
      </c>
      <c r="H14">
        <v>75</v>
      </c>
      <c r="I14">
        <v>91</v>
      </c>
      <c r="J14">
        <v>9</v>
      </c>
      <c r="K14">
        <v>10</v>
      </c>
      <c r="L14">
        <v>9</v>
      </c>
      <c r="M14">
        <v>10</v>
      </c>
      <c r="N14">
        <v>0.74890000000000001</v>
      </c>
      <c r="O14">
        <v>11</v>
      </c>
      <c r="P14" t="s">
        <v>162</v>
      </c>
    </row>
    <row r="15" spans="1:16" x14ac:dyDescent="0.35">
      <c r="D15">
        <v>10080</v>
      </c>
      <c r="E15" t="s">
        <v>99</v>
      </c>
      <c r="F15" t="s">
        <v>105</v>
      </c>
      <c r="G15" t="s">
        <v>107</v>
      </c>
      <c r="H15">
        <v>295</v>
      </c>
      <c r="I15">
        <v>93</v>
      </c>
      <c r="J15">
        <v>9</v>
      </c>
      <c r="K15">
        <v>10</v>
      </c>
      <c r="L15">
        <v>9</v>
      </c>
      <c r="M15">
        <v>9</v>
      </c>
      <c r="N15">
        <v>0.74485000000000001</v>
      </c>
      <c r="O15">
        <v>12</v>
      </c>
      <c r="P15" t="s">
        <v>162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DCF92-13AD-4E34-A791-7C9B96857F2A}">
  <dimension ref="A1:M33"/>
  <sheetViews>
    <sheetView showGridLines="0" workbookViewId="0">
      <selection activeCell="G12" sqref="G12"/>
    </sheetView>
  </sheetViews>
  <sheetFormatPr defaultRowHeight="14.5" x14ac:dyDescent="0.35"/>
  <cols>
    <col min="1" max="1" width="10.7265625" bestFit="1" customWidth="1"/>
    <col min="2" max="2" width="6.36328125" bestFit="1" customWidth="1"/>
    <col min="3" max="3" width="8.81640625" bestFit="1" customWidth="1"/>
    <col min="4" max="4" width="9.36328125" bestFit="1" customWidth="1"/>
    <col min="5" max="5" width="11.81640625" bestFit="1" customWidth="1"/>
    <col min="6" max="6" width="5.6328125" bestFit="1" customWidth="1"/>
    <col min="7" max="7" width="10.26953125" bestFit="1" customWidth="1"/>
    <col min="8" max="8" width="7.26953125" bestFit="1" customWidth="1"/>
    <col min="9" max="9" width="15.54296875" bestFit="1" customWidth="1"/>
    <col min="10" max="10" width="13" bestFit="1" customWidth="1"/>
    <col min="11" max="11" width="11.81640625" bestFit="1" customWidth="1"/>
  </cols>
  <sheetData>
    <row r="1" spans="1:13" ht="18.5" x14ac:dyDescent="0.45">
      <c r="A1" s="21" t="s">
        <v>50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3" x14ac:dyDescent="0.35">
      <c r="A2" s="22" t="s">
        <v>163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3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3" x14ac:dyDescent="0.35">
      <c r="A4" s="1" t="s">
        <v>51</v>
      </c>
      <c r="B4" s="1"/>
      <c r="C4" s="1" t="s">
        <v>52</v>
      </c>
      <c r="D4" s="1"/>
      <c r="E4" s="1" t="s">
        <v>53</v>
      </c>
      <c r="F4" s="1"/>
      <c r="G4" s="1" t="s">
        <v>54</v>
      </c>
      <c r="H4" s="1"/>
      <c r="I4" s="1" t="s">
        <v>55</v>
      </c>
      <c r="J4" s="1"/>
      <c r="K4" s="1" t="s">
        <v>56</v>
      </c>
      <c r="L4" s="2"/>
    </row>
    <row r="5" spans="1:13" ht="18.5" x14ac:dyDescent="0.45">
      <c r="A5" s="9">
        <v>12</v>
      </c>
      <c r="B5" s="9"/>
      <c r="C5" s="9">
        <v>95.25</v>
      </c>
      <c r="D5" s="9"/>
      <c r="E5" s="11">
        <v>140.5</v>
      </c>
      <c r="F5" s="9"/>
      <c r="G5" s="10">
        <v>0.58333333333333337</v>
      </c>
      <c r="H5" s="9"/>
      <c r="I5" s="10">
        <v>0.5</v>
      </c>
      <c r="J5" s="9"/>
      <c r="K5" s="10">
        <v>0.82328666666666661</v>
      </c>
      <c r="L5" s="2"/>
    </row>
    <row r="6" spans="1:13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3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3" x14ac:dyDescent="0.35">
      <c r="A8" s="23" t="s">
        <v>57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"/>
    </row>
    <row r="9" spans="1:13" x14ac:dyDescent="0.35">
      <c r="A9" s="8" t="s">
        <v>58</v>
      </c>
      <c r="B9" s="8" t="s">
        <v>59</v>
      </c>
      <c r="C9" s="8" t="s">
        <v>60</v>
      </c>
      <c r="D9" s="8" t="s">
        <v>61</v>
      </c>
      <c r="E9" s="8" t="s">
        <v>62</v>
      </c>
      <c r="F9" s="8" t="s">
        <v>63</v>
      </c>
      <c r="G9" s="8" t="s">
        <v>64</v>
      </c>
      <c r="H9" s="8" t="s">
        <v>65</v>
      </c>
      <c r="I9" s="8" t="s">
        <v>66</v>
      </c>
      <c r="J9" s="8" t="s">
        <v>67</v>
      </c>
      <c r="K9" s="8" t="s">
        <v>68</v>
      </c>
      <c r="L9" s="2" t="s">
        <v>164</v>
      </c>
      <c r="M9" t="s">
        <v>165</v>
      </c>
    </row>
    <row r="10" spans="1:13" x14ac:dyDescent="0.35">
      <c r="A10" s="2">
        <v>16621</v>
      </c>
      <c r="B10" s="2" t="s">
        <v>127</v>
      </c>
      <c r="C10" s="2" t="s">
        <v>105</v>
      </c>
      <c r="D10" s="2" t="s">
        <v>107</v>
      </c>
      <c r="E10" s="2">
        <v>125</v>
      </c>
      <c r="F10" s="2">
        <v>98</v>
      </c>
      <c r="G10" s="2">
        <v>10</v>
      </c>
      <c r="H10" s="2">
        <v>10</v>
      </c>
      <c r="I10" s="2">
        <v>10</v>
      </c>
      <c r="J10" s="2">
        <v>10</v>
      </c>
      <c r="K10" s="12">
        <v>0.89500000000000002</v>
      </c>
      <c r="L10" s="2">
        <v>1</v>
      </c>
      <c r="M10" t="s">
        <v>161</v>
      </c>
    </row>
    <row r="11" spans="1:13" x14ac:dyDescent="0.35">
      <c r="A11" s="2">
        <v>14267</v>
      </c>
      <c r="B11" s="2" t="s">
        <v>118</v>
      </c>
      <c r="C11" s="2" t="s">
        <v>105</v>
      </c>
      <c r="D11" s="2" t="s">
        <v>107</v>
      </c>
      <c r="E11" s="2">
        <v>130</v>
      </c>
      <c r="F11" s="2">
        <v>96</v>
      </c>
      <c r="G11" s="2">
        <v>10</v>
      </c>
      <c r="H11" s="2">
        <v>10</v>
      </c>
      <c r="I11" s="2">
        <v>10</v>
      </c>
      <c r="J11" s="2">
        <v>10</v>
      </c>
      <c r="K11" s="12">
        <v>0.88900000000000001</v>
      </c>
      <c r="L11" s="2">
        <v>2</v>
      </c>
      <c r="M11" t="s">
        <v>161</v>
      </c>
    </row>
    <row r="12" spans="1:13" x14ac:dyDescent="0.35">
      <c r="A12" s="2">
        <v>330231</v>
      </c>
      <c r="B12" s="2" t="s">
        <v>139</v>
      </c>
      <c r="C12" s="2" t="s">
        <v>137</v>
      </c>
      <c r="D12" s="2" t="s">
        <v>107</v>
      </c>
      <c r="E12" s="2">
        <v>115</v>
      </c>
      <c r="F12" s="2">
        <v>98</v>
      </c>
      <c r="G12" s="2">
        <v>9</v>
      </c>
      <c r="H12" s="2">
        <v>10</v>
      </c>
      <c r="I12" s="2">
        <v>10</v>
      </c>
      <c r="J12" s="2">
        <v>10</v>
      </c>
      <c r="K12" s="12">
        <v>0.88</v>
      </c>
      <c r="L12" s="2">
        <v>3</v>
      </c>
      <c r="M12" t="s">
        <v>161</v>
      </c>
    </row>
    <row r="13" spans="1:13" x14ac:dyDescent="0.35">
      <c r="A13" s="2">
        <v>551230</v>
      </c>
      <c r="B13" s="2" t="s">
        <v>149</v>
      </c>
      <c r="C13" s="2" t="s">
        <v>146</v>
      </c>
      <c r="D13" s="2" t="s">
        <v>107</v>
      </c>
      <c r="E13" s="2">
        <v>180</v>
      </c>
      <c r="F13" s="2">
        <v>96</v>
      </c>
      <c r="G13" s="2">
        <v>9</v>
      </c>
      <c r="H13" s="2">
        <v>9</v>
      </c>
      <c r="I13" s="2">
        <v>9</v>
      </c>
      <c r="J13" s="2">
        <v>10</v>
      </c>
      <c r="K13" s="12">
        <v>0.84900000000000009</v>
      </c>
      <c r="L13" s="2">
        <v>4</v>
      </c>
      <c r="M13" t="s">
        <v>162</v>
      </c>
    </row>
    <row r="14" spans="1:13" x14ac:dyDescent="0.35">
      <c r="A14" s="2">
        <v>700981</v>
      </c>
      <c r="B14" s="2" t="s">
        <v>153</v>
      </c>
      <c r="C14" s="2" t="s">
        <v>157</v>
      </c>
      <c r="D14" s="2" t="s">
        <v>107</v>
      </c>
      <c r="E14" s="2">
        <v>210</v>
      </c>
      <c r="F14" s="2">
        <v>95</v>
      </c>
      <c r="G14" s="2">
        <v>9</v>
      </c>
      <c r="H14" s="2">
        <v>9</v>
      </c>
      <c r="I14" s="2">
        <v>9</v>
      </c>
      <c r="J14" s="2">
        <v>10</v>
      </c>
      <c r="K14" s="12">
        <v>0.84594000000000003</v>
      </c>
      <c r="L14" s="2">
        <v>5</v>
      </c>
      <c r="M14" t="s">
        <v>162</v>
      </c>
    </row>
    <row r="15" spans="1:13" x14ac:dyDescent="0.35">
      <c r="A15" s="2">
        <v>13188</v>
      </c>
      <c r="B15" s="2" t="s">
        <v>114</v>
      </c>
      <c r="C15" s="2" t="s">
        <v>105</v>
      </c>
      <c r="D15" s="2" t="s">
        <v>107</v>
      </c>
      <c r="E15" s="2">
        <v>108</v>
      </c>
      <c r="F15" s="2">
        <v>97</v>
      </c>
      <c r="G15" s="2">
        <v>10</v>
      </c>
      <c r="H15" s="2">
        <v>10</v>
      </c>
      <c r="I15" s="2">
        <v>10</v>
      </c>
      <c r="J15" s="2">
        <v>10</v>
      </c>
      <c r="K15" s="12">
        <v>0.84199999999999997</v>
      </c>
      <c r="L15" s="2">
        <v>6</v>
      </c>
      <c r="M15" t="s">
        <v>162</v>
      </c>
    </row>
    <row r="16" spans="1:13" x14ac:dyDescent="0.35">
      <c r="A16" s="2">
        <v>170137</v>
      </c>
      <c r="B16" s="2" t="s">
        <v>131</v>
      </c>
      <c r="C16" s="2" t="s">
        <v>105</v>
      </c>
      <c r="D16" s="2" t="s">
        <v>107</v>
      </c>
      <c r="E16" s="2">
        <v>250</v>
      </c>
      <c r="F16" s="2">
        <v>97</v>
      </c>
      <c r="G16" s="2">
        <v>10</v>
      </c>
      <c r="H16" s="2">
        <v>10</v>
      </c>
      <c r="I16" s="2">
        <v>10</v>
      </c>
      <c r="J16" s="2">
        <v>10</v>
      </c>
      <c r="K16" s="12">
        <v>0.84194999999999998</v>
      </c>
      <c r="L16" s="2">
        <v>7</v>
      </c>
      <c r="M16" t="s">
        <v>162</v>
      </c>
    </row>
    <row r="17" spans="1:13" x14ac:dyDescent="0.35">
      <c r="A17" s="2">
        <v>281420</v>
      </c>
      <c r="B17" s="2" t="s">
        <v>133</v>
      </c>
      <c r="C17" s="2" t="s">
        <v>137</v>
      </c>
      <c r="D17" s="2" t="s">
        <v>107</v>
      </c>
      <c r="E17" s="2">
        <v>53</v>
      </c>
      <c r="F17" s="2">
        <v>100</v>
      </c>
      <c r="G17" s="2">
        <v>10</v>
      </c>
      <c r="H17" s="2">
        <v>10</v>
      </c>
      <c r="I17" s="2">
        <v>10</v>
      </c>
      <c r="J17" s="2">
        <v>10</v>
      </c>
      <c r="K17" s="12">
        <v>0.80091999999999997</v>
      </c>
      <c r="L17" s="2">
        <v>8</v>
      </c>
      <c r="M17" t="s">
        <v>162</v>
      </c>
    </row>
    <row r="18" spans="1:13" x14ac:dyDescent="0.35">
      <c r="A18" s="2">
        <v>440412</v>
      </c>
      <c r="B18" s="2" t="s">
        <v>143</v>
      </c>
      <c r="C18" s="2" t="s">
        <v>146</v>
      </c>
      <c r="D18" s="2" t="s">
        <v>112</v>
      </c>
      <c r="E18" s="2">
        <v>85</v>
      </c>
      <c r="F18" s="2">
        <v>90</v>
      </c>
      <c r="G18" s="2">
        <v>9</v>
      </c>
      <c r="H18" s="2">
        <v>9</v>
      </c>
      <c r="I18" s="2">
        <v>9</v>
      </c>
      <c r="J18" s="2">
        <v>10</v>
      </c>
      <c r="K18" s="12">
        <v>0.78088000000000002</v>
      </c>
      <c r="L18" s="2">
        <v>9</v>
      </c>
      <c r="M18" t="s">
        <v>162</v>
      </c>
    </row>
    <row r="19" spans="1:13" x14ac:dyDescent="0.35">
      <c r="A19" s="2">
        <v>11400</v>
      </c>
      <c r="B19" s="2" t="s">
        <v>109</v>
      </c>
      <c r="C19" s="2" t="s">
        <v>105</v>
      </c>
      <c r="D19" s="2" t="s">
        <v>112</v>
      </c>
      <c r="E19" s="2">
        <v>60</v>
      </c>
      <c r="F19" s="2">
        <v>92</v>
      </c>
      <c r="G19" s="2">
        <v>9</v>
      </c>
      <c r="H19" s="2">
        <v>10</v>
      </c>
      <c r="I19" s="2">
        <v>10</v>
      </c>
      <c r="J19" s="2">
        <v>10</v>
      </c>
      <c r="K19" s="12">
        <v>0.76100000000000001</v>
      </c>
      <c r="L19" s="2">
        <v>10</v>
      </c>
      <c r="M19" t="s">
        <v>162</v>
      </c>
    </row>
    <row r="20" spans="1:13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3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3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3" x14ac:dyDescent="0.35">
      <c r="A23" s="2" t="s">
        <v>60</v>
      </c>
      <c r="B23" s="2" t="s">
        <v>69</v>
      </c>
      <c r="C23" s="2"/>
      <c r="D23" s="2" t="s">
        <v>61</v>
      </c>
      <c r="E23" s="2" t="s">
        <v>56</v>
      </c>
      <c r="F23" s="2"/>
      <c r="G23" s="2"/>
      <c r="H23" s="2"/>
      <c r="I23" s="2"/>
      <c r="J23" s="2"/>
      <c r="K23" s="2"/>
      <c r="L23" s="2"/>
    </row>
    <row r="24" spans="1:13" x14ac:dyDescent="0.35">
      <c r="A24" s="2" t="s">
        <v>105</v>
      </c>
      <c r="B24" s="2">
        <v>7</v>
      </c>
      <c r="C24" s="2"/>
      <c r="D24" s="2" t="s">
        <v>107</v>
      </c>
      <c r="E24" s="12">
        <v>0.84318444444444429</v>
      </c>
      <c r="F24" s="2"/>
      <c r="G24" s="2"/>
      <c r="H24" s="2"/>
      <c r="I24" s="2"/>
      <c r="J24" s="2"/>
      <c r="K24" s="2"/>
      <c r="L24" s="2"/>
    </row>
    <row r="25" spans="1:13" x14ac:dyDescent="0.35">
      <c r="A25" t="s">
        <v>137</v>
      </c>
      <c r="B25">
        <v>2</v>
      </c>
      <c r="D25" t="s">
        <v>112</v>
      </c>
      <c r="E25" s="13">
        <v>0.76359333333333324</v>
      </c>
    </row>
    <row r="26" spans="1:13" x14ac:dyDescent="0.35">
      <c r="A26" t="s">
        <v>146</v>
      </c>
      <c r="B26">
        <v>2</v>
      </c>
      <c r="E26" s="13"/>
    </row>
    <row r="27" spans="1:13" x14ac:dyDescent="0.35">
      <c r="A27" t="s">
        <v>157</v>
      </c>
      <c r="B27">
        <v>1</v>
      </c>
      <c r="E27" s="13"/>
    </row>
    <row r="28" spans="1:13" x14ac:dyDescent="0.35">
      <c r="E28" s="13"/>
    </row>
    <row r="29" spans="1:13" x14ac:dyDescent="0.35">
      <c r="E29" s="13"/>
    </row>
    <row r="30" spans="1:13" x14ac:dyDescent="0.35">
      <c r="E30" s="13"/>
    </row>
    <row r="31" spans="1:13" x14ac:dyDescent="0.35">
      <c r="E31" s="13"/>
    </row>
    <row r="32" spans="1:13" x14ac:dyDescent="0.35">
      <c r="E32" s="13"/>
    </row>
    <row r="33" spans="5:5" x14ac:dyDescent="0.35">
      <c r="E33" s="13"/>
    </row>
  </sheetData>
  <mergeCells count="3">
    <mergeCell ref="A1:L1"/>
    <mergeCell ref="A2:L2"/>
    <mergeCell ref="A8:K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A416-1D06-4351-8A68-19D50911BDBA}">
  <dimension ref="A1:L36"/>
  <sheetViews>
    <sheetView showGridLines="0" workbookViewId="0">
      <selection activeCell="B8" sqref="B8"/>
    </sheetView>
  </sheetViews>
  <sheetFormatPr defaultRowHeight="14.5" x14ac:dyDescent="0.35"/>
  <cols>
    <col min="1" max="1" width="24.453125" bestFit="1" customWidth="1"/>
    <col min="2" max="2" width="22.90625" bestFit="1" customWidth="1"/>
  </cols>
  <sheetData>
    <row r="1" spans="1:12" ht="18.5" x14ac:dyDescent="0.45">
      <c r="A1" s="6" t="s">
        <v>70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5">
      <c r="A2" s="2"/>
      <c r="B2" s="2"/>
    </row>
    <row r="3" spans="1:12" x14ac:dyDescent="0.35">
      <c r="A3" s="2" t="s">
        <v>71</v>
      </c>
      <c r="B3" s="2" t="s">
        <v>72</v>
      </c>
    </row>
    <row r="4" spans="1:12" x14ac:dyDescent="0.35">
      <c r="A4" s="2" t="s">
        <v>0</v>
      </c>
      <c r="B4" s="2" t="s">
        <v>58</v>
      </c>
    </row>
    <row r="5" spans="1:12" x14ac:dyDescent="0.35">
      <c r="A5" s="2" t="s">
        <v>1</v>
      </c>
      <c r="B5" s="2" t="s">
        <v>73</v>
      </c>
    </row>
    <row r="6" spans="1:12" x14ac:dyDescent="0.35">
      <c r="A6" s="2" t="s">
        <v>2</v>
      </c>
      <c r="B6" s="2" t="s">
        <v>74</v>
      </c>
    </row>
    <row r="7" spans="1:12" x14ac:dyDescent="0.35">
      <c r="A7" s="2" t="s">
        <v>3</v>
      </c>
      <c r="B7" s="2" t="s">
        <v>75</v>
      </c>
    </row>
    <row r="8" spans="1:12" x14ac:dyDescent="0.35">
      <c r="A8" s="2" t="s">
        <v>4</v>
      </c>
      <c r="B8" s="2" t="s">
        <v>76</v>
      </c>
    </row>
    <row r="9" spans="1:12" x14ac:dyDescent="0.35">
      <c r="A9" s="2" t="s">
        <v>5</v>
      </c>
      <c r="B9" s="2" t="s">
        <v>77</v>
      </c>
    </row>
    <row r="10" spans="1:12" x14ac:dyDescent="0.35">
      <c r="A10" s="2" t="s">
        <v>6</v>
      </c>
      <c r="B10" s="2" t="s">
        <v>41</v>
      </c>
    </row>
    <row r="11" spans="1:12" x14ac:dyDescent="0.35">
      <c r="A11" s="2" t="s">
        <v>7</v>
      </c>
      <c r="B11" s="2" t="s">
        <v>78</v>
      </c>
    </row>
    <row r="12" spans="1:12" x14ac:dyDescent="0.35">
      <c r="A12" s="2" t="s">
        <v>8</v>
      </c>
      <c r="B12" s="2" t="s">
        <v>42</v>
      </c>
    </row>
    <row r="13" spans="1:12" x14ac:dyDescent="0.35">
      <c r="A13" s="2" t="s">
        <v>9</v>
      </c>
      <c r="B13" s="2" t="s">
        <v>79</v>
      </c>
    </row>
    <row r="14" spans="1:12" x14ac:dyDescent="0.35">
      <c r="A14" s="2" t="s">
        <v>10</v>
      </c>
      <c r="B14" s="2" t="s">
        <v>80</v>
      </c>
    </row>
    <row r="15" spans="1:12" x14ac:dyDescent="0.35">
      <c r="A15" s="2" t="s">
        <v>11</v>
      </c>
      <c r="B15" s="2" t="s">
        <v>81</v>
      </c>
    </row>
    <row r="16" spans="1:12" x14ac:dyDescent="0.35">
      <c r="A16" s="2" t="s">
        <v>12</v>
      </c>
      <c r="B16" s="2" t="s">
        <v>82</v>
      </c>
    </row>
    <row r="17" spans="1:2" x14ac:dyDescent="0.35">
      <c r="A17" s="2" t="s">
        <v>13</v>
      </c>
      <c r="B17" s="2" t="s">
        <v>83</v>
      </c>
    </row>
    <row r="18" spans="1:2" x14ac:dyDescent="0.35">
      <c r="A18" s="2" t="s">
        <v>14</v>
      </c>
      <c r="B18" s="2" t="s">
        <v>60</v>
      </c>
    </row>
    <row r="19" spans="1:2" x14ac:dyDescent="0.35">
      <c r="A19" s="2" t="s">
        <v>15</v>
      </c>
      <c r="B19" s="2" t="s">
        <v>84</v>
      </c>
    </row>
    <row r="20" spans="1:2" x14ac:dyDescent="0.35">
      <c r="A20" s="2" t="s">
        <v>16</v>
      </c>
      <c r="B20" s="2" t="s">
        <v>85</v>
      </c>
    </row>
    <row r="21" spans="1:2" x14ac:dyDescent="0.35">
      <c r="A21" s="2" t="s">
        <v>17</v>
      </c>
      <c r="B21" s="2" t="s">
        <v>86</v>
      </c>
    </row>
    <row r="22" spans="1:2" x14ac:dyDescent="0.35">
      <c r="A22" s="2" t="s">
        <v>18</v>
      </c>
      <c r="B22" s="2" t="s">
        <v>87</v>
      </c>
    </row>
    <row r="23" spans="1:2" x14ac:dyDescent="0.35">
      <c r="A23" s="2" t="s">
        <v>19</v>
      </c>
      <c r="B23" s="2" t="s">
        <v>88</v>
      </c>
    </row>
    <row r="24" spans="1:2" x14ac:dyDescent="0.35">
      <c r="A24" s="2" t="s">
        <v>20</v>
      </c>
      <c r="B24" s="2" t="s">
        <v>89</v>
      </c>
    </row>
    <row r="25" spans="1:2" x14ac:dyDescent="0.35">
      <c r="A25" s="2" t="s">
        <v>21</v>
      </c>
      <c r="B25" s="2" t="s">
        <v>90</v>
      </c>
    </row>
    <row r="26" spans="1:2" x14ac:dyDescent="0.35">
      <c r="A26" s="2" t="s">
        <v>22</v>
      </c>
      <c r="B26" s="2" t="s">
        <v>91</v>
      </c>
    </row>
    <row r="27" spans="1:2" x14ac:dyDescent="0.35">
      <c r="A27" s="2" t="s">
        <v>23</v>
      </c>
      <c r="B27" s="2" t="s">
        <v>92</v>
      </c>
    </row>
    <row r="28" spans="1:2" x14ac:dyDescent="0.35">
      <c r="A28" s="2" t="s">
        <v>24</v>
      </c>
      <c r="B28" s="2" t="s">
        <v>93</v>
      </c>
    </row>
    <row r="29" spans="1:2" x14ac:dyDescent="0.35">
      <c r="A29" s="2" t="s">
        <v>25</v>
      </c>
      <c r="B29" s="2" t="s">
        <v>36</v>
      </c>
    </row>
    <row r="30" spans="1:2" x14ac:dyDescent="0.35">
      <c r="A30" s="2" t="s">
        <v>26</v>
      </c>
      <c r="B30" s="2" t="s">
        <v>94</v>
      </c>
    </row>
    <row r="31" spans="1:2" x14ac:dyDescent="0.35">
      <c r="A31" s="2" t="s">
        <v>27</v>
      </c>
      <c r="B31" s="2" t="s">
        <v>39</v>
      </c>
    </row>
    <row r="32" spans="1:2" x14ac:dyDescent="0.35">
      <c r="A32" s="2" t="s">
        <v>28</v>
      </c>
      <c r="B32" s="2" t="s">
        <v>95</v>
      </c>
    </row>
    <row r="33" spans="1:2" x14ac:dyDescent="0.35">
      <c r="A33" s="2" t="s">
        <v>29</v>
      </c>
      <c r="B33" s="2" t="s">
        <v>40</v>
      </c>
    </row>
    <row r="34" spans="1:2" x14ac:dyDescent="0.35">
      <c r="A34" s="2" t="s">
        <v>30</v>
      </c>
      <c r="B34" s="2" t="s">
        <v>38</v>
      </c>
    </row>
    <row r="35" spans="1:2" x14ac:dyDescent="0.35">
      <c r="A35" s="2" t="s">
        <v>31</v>
      </c>
      <c r="B35" s="2" t="s">
        <v>96</v>
      </c>
    </row>
    <row r="36" spans="1:2" x14ac:dyDescent="0.35">
      <c r="A36" s="2" t="s">
        <v>32</v>
      </c>
      <c r="B36" s="2" t="s">
        <v>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Raw Data</vt:lpstr>
      <vt:lpstr>Scoring Model</vt:lpstr>
      <vt:lpstr>Dashboard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Kumar</dc:creator>
  <cp:lastModifiedBy>Aakash Kumar</cp:lastModifiedBy>
  <dcterms:created xsi:type="dcterms:W3CDTF">2026-07-19T12:03:03Z</dcterms:created>
  <dcterms:modified xsi:type="dcterms:W3CDTF">2026-07-25T11:17:48Z</dcterms:modified>
</cp:coreProperties>
</file>